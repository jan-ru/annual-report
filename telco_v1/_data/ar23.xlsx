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rm/Projects/telco_ar23/_data/"/>
    </mc:Choice>
  </mc:AlternateContent>
  <xr:revisionPtr revIDLastSave="0" documentId="13_ncr:1_{798390AB-C7E2-2447-9E2F-CD32BD36FD36}" xr6:coauthVersionLast="47" xr6:coauthVersionMax="47" xr10:uidLastSave="{00000000-0000-0000-0000-000000000000}"/>
  <bookViews>
    <workbookView xWindow="38480" yWindow="660" windowWidth="38160" windowHeight="42380" xr2:uid="{54268C38-4C11-D347-A2A5-88A00E4FF78E}"/>
  </bookViews>
  <sheets>
    <sheet name="2023" sheetId="1" r:id="rId1"/>
    <sheet name="CrowdRealEst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11" i="2"/>
  <c r="D13" i="2" s="1"/>
  <c r="H10" i="1"/>
  <c r="H11" i="1" s="1"/>
  <c r="H13" i="1" s="1"/>
  <c r="H15" i="1" s="1"/>
  <c r="H17" i="1" s="1"/>
  <c r="F10" i="1"/>
  <c r="F11" i="1" s="1"/>
  <c r="F13" i="1" s="1"/>
  <c r="F15" i="1" s="1"/>
  <c r="F17" i="1" s="1"/>
</calcChain>
</file>

<file path=xl/sharedStrings.xml><?xml version="1.0" encoding="utf-8"?>
<sst xmlns="http://schemas.openxmlformats.org/spreadsheetml/2006/main" count="197" uniqueCount="113">
  <si>
    <t>Netto-omzet</t>
  </si>
  <si>
    <t>Personeelskosten</t>
  </si>
  <si>
    <t>Afschrijvingen</t>
  </si>
  <si>
    <t>Overige bedrijfskosten</t>
  </si>
  <si>
    <t>Bedrijfsresultaat</t>
  </si>
  <si>
    <t>Financiele baten en lasten</t>
  </si>
  <si>
    <t>Resultaat voor belastingen</t>
  </si>
  <si>
    <t>Belastingen</t>
  </si>
  <si>
    <t>Resultaat deelnemingen</t>
  </si>
  <si>
    <t>Resultaat na belastingen</t>
  </si>
  <si>
    <t>(9)</t>
  </si>
  <si>
    <t>(10)</t>
  </si>
  <si>
    <t>(11)</t>
  </si>
  <si>
    <t>(12)</t>
  </si>
  <si>
    <t>(13)</t>
  </si>
  <si>
    <t>(14)</t>
  </si>
  <si>
    <t>(15)</t>
  </si>
  <si>
    <t>Note</t>
  </si>
  <si>
    <t>Categorie</t>
  </si>
  <si>
    <t>Project</t>
  </si>
  <si>
    <t>Bedrag</t>
  </si>
  <si>
    <t>Vaste rente</t>
  </si>
  <si>
    <t>Datum</t>
  </si>
  <si>
    <t>Status</t>
  </si>
  <si>
    <t>Innovatieve mestverwerkingshub</t>
  </si>
  <si>
    <t>Kosten eenmalig</t>
  </si>
  <si>
    <t>Kosten/jaar</t>
  </si>
  <si>
    <t>Locatie</t>
  </si>
  <si>
    <t>25-07-2025</t>
  </si>
  <si>
    <t>Rendement</t>
  </si>
  <si>
    <t>Financieringsperiode</t>
  </si>
  <si>
    <t>TheNational, Sterrebeek BE</t>
  </si>
  <si>
    <t>Houtstraat, Nijmegen NL</t>
  </si>
  <si>
    <t>Bron</t>
  </si>
  <si>
    <t>Telco jaarrekening 2023</t>
  </si>
  <si>
    <t>IB aangifte 2024</t>
  </si>
  <si>
    <t>GoogleSheet 26-07-2025</t>
  </si>
  <si>
    <t>Hellingstraat 64 D17, Muiden NL</t>
  </si>
  <si>
    <t>Gewogen gemiddelde primair rendement</t>
  </si>
  <si>
    <t>Amsterdamseweg 62, Amersfoort NL</t>
  </si>
  <si>
    <t>Overtoom II, Amsterdam NL</t>
  </si>
  <si>
    <t>Vijfsterrenhotel Maximilian DE</t>
  </si>
  <si>
    <t>Akte</t>
  </si>
  <si>
    <t>EBi - Amsterdam Overtoom.pdf</t>
  </si>
  <si>
    <t>EBi - Innovatieve mestverwerkingshub.pdf</t>
  </si>
  <si>
    <t>EBi - Vijfsterrenhotel Maximilian.pdf</t>
  </si>
  <si>
    <t>EBi - maken</t>
  </si>
  <si>
    <t>Via</t>
  </si>
  <si>
    <t>Telco</t>
  </si>
  <si>
    <t>Prive</t>
  </si>
  <si>
    <t>num</t>
  </si>
  <si>
    <t>char</t>
  </si>
  <si>
    <t>row</t>
  </si>
  <si>
    <t>group</t>
  </si>
  <si>
    <t>apricot</t>
  </si>
  <si>
    <t>row_1</t>
  </si>
  <si>
    <t>grp_a</t>
  </si>
  <si>
    <t>banana</t>
  </si>
  <si>
    <t>row_2</t>
  </si>
  <si>
    <t>coconut</t>
  </si>
  <si>
    <t>row_3</t>
  </si>
  <si>
    <t>durian</t>
  </si>
  <si>
    <t>row_4</t>
  </si>
  <si>
    <t>row_5</t>
  </si>
  <si>
    <t>grp_b</t>
  </si>
  <si>
    <t>Groep</t>
  </si>
  <si>
    <t>Kosten</t>
  </si>
  <si>
    <t>Omzet</t>
  </si>
  <si>
    <t>2023</t>
  </si>
  <si>
    <t>2022</t>
  </si>
  <si>
    <t>Geplaatst kapitaal</t>
  </si>
  <si>
    <t>Eigen vermogen</t>
  </si>
  <si>
    <t>(1)</t>
  </si>
  <si>
    <t>Rubriek</t>
  </si>
  <si>
    <t>Passiva</t>
  </si>
  <si>
    <t>Activa</t>
  </si>
  <si>
    <t>Vastgoedbeleggingen</t>
  </si>
  <si>
    <t>Vaste Activa</t>
  </si>
  <si>
    <t>Financiele vaste activa</t>
  </si>
  <si>
    <t>Vlottende activa</t>
  </si>
  <si>
    <t>Column1</t>
  </si>
  <si>
    <t>Vorderingen</t>
  </si>
  <si>
    <t>Rekening-courant directie</t>
  </si>
  <si>
    <t>Vennootschapsbelasting</t>
  </si>
  <si>
    <t>Overige belastingen en premies sociale verzekeringen</t>
  </si>
  <si>
    <t>Te ontvangen aflossingen</t>
  </si>
  <si>
    <t>Overige vorderingen en overlopende activa</t>
  </si>
  <si>
    <t>(2)</t>
  </si>
  <si>
    <t>(3)</t>
  </si>
  <si>
    <t>Andere deelnemingen</t>
  </si>
  <si>
    <t>Effecten</t>
  </si>
  <si>
    <t>Leningen u/g</t>
  </si>
  <si>
    <t>Column2</t>
  </si>
  <si>
    <t>31-Dec-23</t>
  </si>
  <si>
    <t>31-Dec-22</t>
  </si>
  <si>
    <t>Rubriek2</t>
  </si>
  <si>
    <t>Groep3</t>
  </si>
  <si>
    <t>3 tabels, each with 2 header rows</t>
  </si>
  <si>
    <t>2023sub</t>
  </si>
  <si>
    <t>2023tot</t>
  </si>
  <si>
    <t>2022sub</t>
  </si>
  <si>
    <t>2022tot</t>
  </si>
  <si>
    <t>Column3</t>
  </si>
  <si>
    <t>Column4</t>
  </si>
  <si>
    <t>Column5</t>
  </si>
  <si>
    <t>Column6</t>
  </si>
  <si>
    <t>Column7</t>
  </si>
  <si>
    <t>Column8</t>
  </si>
  <si>
    <t>20232</t>
  </si>
  <si>
    <t>20223</t>
  </si>
  <si>
    <t>Table: IncomeStatement</t>
  </si>
  <si>
    <t>Table: Activa</t>
  </si>
  <si>
    <t>Table: Passiva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</si>
</sst>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yyyy\-mm\-dd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1" xfId="0" applyBorder="1"/>
    <xf numFmtId="164" fontId="0" fillId="0" borderId="0" xfId="1" applyNumberFormat="1" applyFont="1"/>
    <xf numFmtId="164" fontId="0" fillId="0" borderId="1" xfId="1" applyNumberFormat="1" applyFon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/>
    </xf>
    <xf numFmtId="0" fontId="3" fillId="0" borderId="0" xfId="0" applyFont="1"/>
    <xf numFmtId="0" fontId="2" fillId="0" borderId="0" xfId="0" applyFont="1"/>
    <xf numFmtId="0" fontId="0" fillId="0" borderId="2" xfId="0" applyFont="1" applyBorder="1"/>
    <xf numFmtId="0" fontId="0" fillId="0" borderId="0" xfId="0" applyAlignment="1">
      <alignment horizontal="left"/>
    </xf>
    <xf numFmtId="164" fontId="0" fillId="0" borderId="2" xfId="1" applyNumberFormat="1" applyFont="1" applyBorder="1"/>
    <xf numFmtId="164" fontId="0" fillId="0" borderId="0" xfId="1" applyNumberFormat="1" applyFont="1" applyBorder="1"/>
    <xf numFmtId="164" fontId="0" fillId="0" borderId="3" xfId="1" applyNumberFormat="1" applyFont="1" applyBorder="1"/>
    <xf numFmtId="164" fontId="0" fillId="0" borderId="4" xfId="1" applyNumberFormat="1" applyFont="1" applyBorder="1"/>
    <xf numFmtId="0" fontId="5" fillId="0" borderId="0" xfId="0" applyFont="1"/>
    <xf numFmtId="0" fontId="0" fillId="3" borderId="4" xfId="0" applyFont="1" applyFill="1" applyBorder="1"/>
    <xf numFmtId="0" fontId="0" fillId="3" borderId="4" xfId="0" applyFont="1" applyFill="1" applyBorder="1" applyAlignment="1">
      <alignment horizontal="center"/>
    </xf>
    <xf numFmtId="164" fontId="0" fillId="3" borderId="4" xfId="1" applyNumberFormat="1" applyFont="1" applyFill="1" applyBorder="1"/>
    <xf numFmtId="0" fontId="0" fillId="0" borderId="4" xfId="0" applyFont="1" applyBorder="1"/>
    <xf numFmtId="0" fontId="0" fillId="0" borderId="4" xfId="0" applyFont="1" applyBorder="1" applyAlignment="1">
      <alignment horizontal="center"/>
    </xf>
    <xf numFmtId="164" fontId="0" fillId="3" borderId="7" xfId="1" applyNumberFormat="1" applyFont="1" applyFill="1" applyBorder="1"/>
    <xf numFmtId="164" fontId="0" fillId="0" borderId="7" xfId="1" applyNumberFormat="1" applyFont="1" applyBorder="1"/>
    <xf numFmtId="0" fontId="0" fillId="0" borderId="2" xfId="0" applyFont="1" applyBorder="1" applyAlignment="1">
      <alignment horizontal="center"/>
    </xf>
    <xf numFmtId="0" fontId="0" fillId="0" borderId="0" xfId="0" applyFont="1" applyBorder="1"/>
    <xf numFmtId="0" fontId="0" fillId="0" borderId="0" xfId="0" applyFont="1" applyBorder="1" applyAlignment="1">
      <alignment horizontal="center"/>
    </xf>
    <xf numFmtId="0" fontId="0" fillId="3" borderId="4" xfId="0" applyFont="1" applyFill="1" applyBorder="1" applyAlignment="1">
      <alignment horizontal="left"/>
    </xf>
    <xf numFmtId="0" fontId="0" fillId="0" borderId="4" xfId="0" applyFont="1" applyBorder="1" applyAlignment="1">
      <alignment horizontal="left"/>
    </xf>
    <xf numFmtId="0" fontId="4" fillId="2" borderId="0" xfId="0" applyFont="1" applyFill="1" applyBorder="1"/>
    <xf numFmtId="0" fontId="4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center"/>
    </xf>
    <xf numFmtId="0" fontId="4" fillId="0" borderId="5" xfId="0" applyFont="1" applyFill="1" applyBorder="1"/>
    <xf numFmtId="0" fontId="4" fillId="0" borderId="4" xfId="0" applyFont="1" applyFill="1" applyBorder="1"/>
    <xf numFmtId="0" fontId="4" fillId="0" borderId="4" xfId="0" applyFont="1" applyFill="1" applyBorder="1" applyAlignment="1">
      <alignment horizontal="left"/>
    </xf>
    <xf numFmtId="15" fontId="4" fillId="0" borderId="4" xfId="0" applyNumberFormat="1" applyFont="1" applyFill="1" applyBorder="1"/>
    <xf numFmtId="15" fontId="4" fillId="0" borderId="6" xfId="0" applyNumberFormat="1" applyFont="1" applyFill="1" applyBorder="1"/>
    <xf numFmtId="0" fontId="0" fillId="0" borderId="5" xfId="0" applyFont="1" applyFill="1" applyBorder="1"/>
    <xf numFmtId="0" fontId="0" fillId="0" borderId="4" xfId="0" applyFont="1" applyFill="1" applyBorder="1"/>
    <xf numFmtId="0" fontId="0" fillId="0" borderId="4" xfId="0" applyFont="1" applyFill="1" applyBorder="1" applyAlignment="1">
      <alignment horizontal="left"/>
    </xf>
    <xf numFmtId="164" fontId="0" fillId="0" borderId="4" xfId="1" applyNumberFormat="1" applyFont="1" applyFill="1" applyBorder="1"/>
    <xf numFmtId="164" fontId="0" fillId="0" borderId="6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2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9189-956D-254E-964B-547094411A22}" name="IncomeStatement" displayName="IncomeStatement" ref="B3:H17" totalsRowShown="0" headerRowDxfId="22" tableBorderDxfId="28">
  <autoFilter ref="B3:H17" xr:uid="{9B169189-956D-254E-964B-547094411A22}"/>
  <tableColumns count="7">
    <tableColumn id="1" xr3:uid="{9F8F9FA7-5E7B-3E4F-9275-4BB3F12E45C8}" name="Column1" dataDxfId="27"/>
    <tableColumn id="2" xr3:uid="{2B704295-23E3-2A48-8B62-916F3BD3FCE2}" name="Column2" dataDxfId="26"/>
    <tableColumn id="3" xr3:uid="{D7638CCA-B55E-CB46-8A97-55130AC3D09F}" name="Column3" dataDxfId="25"/>
    <tableColumn id="4" xr3:uid="{5572C87C-7CFA-404B-9B45-C7539F8EFCDE}" name="Column4" dataDxfId="24" dataCellStyle="Comma"/>
    <tableColumn id="5" xr3:uid="{5E2FADFC-27A0-2F40-A1B0-EEE8E19F7167}" name="Column5"/>
    <tableColumn id="6" xr3:uid="{E19106A9-8EEC-AE45-A4CA-F9CC582D9CF9}" name="Column6" dataDxfId="23" dataCellStyle="Comma"/>
    <tableColumn id="7" xr3:uid="{B56F1AED-2954-2F4A-BA48-A99052650503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CD65FE-3488-764E-A568-91ADD5E8AD45}" name="Activa" displayName="Activa" ref="A21:H34" totalsRowShown="0" headerRowDxfId="11" dataDxfId="12" tableBorderDxfId="21">
  <autoFilter ref="A21:H34" xr:uid="{CECD65FE-3488-764E-A568-91ADD5E8AD45}"/>
  <tableColumns count="8">
    <tableColumn id="1" xr3:uid="{ABD46D5C-5621-594C-BAE6-1B67EFBC0080}" name="Column1" dataDxfId="20"/>
    <tableColumn id="2" xr3:uid="{16CB739B-22FE-CC45-8114-5B6D0AC8F079}" name="Column2" dataDxfId="19"/>
    <tableColumn id="3" xr3:uid="{37DBD442-483C-7E43-8348-C112A63890E2}" name="Column3" dataDxfId="18"/>
    <tableColumn id="4" xr3:uid="{CECC2965-1BA9-B84E-BA2D-4D5CC2403247}" name="Column4" dataDxfId="17"/>
    <tableColumn id="5" xr3:uid="{ACA11208-4035-8C42-A4A1-C0DA15AF8002}" name="Column5" dataDxfId="16"/>
    <tableColumn id="6" xr3:uid="{DAD7621D-DF9D-A74E-81A3-632E552D33D4}" name="Column6" dataDxfId="15"/>
    <tableColumn id="7" xr3:uid="{3D1CAEA2-7896-9C41-91B4-5DEBE8B117D1}" name="Column7" dataDxfId="14"/>
    <tableColumn id="8" xr3:uid="{8B417DE9-9BF6-1A41-AB5E-7BCBF3D53321}" name="Column8" dataDxfId="1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D205F5-2AA4-994B-9D06-8397C0C4A3F0}" name="Passiva" displayName="Passiva" ref="A38:H41" totalsRowShown="0" headerRowDxfId="9" dataDxfId="0" tableBorderDxfId="10">
  <autoFilter ref="A38:H41" xr:uid="{60D205F5-2AA4-994B-9D06-8397C0C4A3F0}"/>
  <tableColumns count="8">
    <tableColumn id="1" xr3:uid="{DADE3A4A-05C2-6B41-B11C-6F5C9AB24E4A}" name="Rubriek" dataDxfId="8"/>
    <tableColumn id="2" xr3:uid="{6A9EA613-4D76-C244-BDA0-705AB8B876C8}" name="Groep" dataDxfId="7"/>
    <tableColumn id="3" xr3:uid="{D50EFFCB-6E95-1E44-BB4F-2EAEA4CBF5DA}" name="Categorie" dataDxfId="6"/>
    <tableColumn id="4" xr3:uid="{D03CFA40-23C6-7143-99A3-F3B71BDD6EA2}" name="Note" dataDxfId="5"/>
    <tableColumn id="5" xr3:uid="{BFEAB026-7991-2D47-BA96-2853A0150FD6}" name="2023" dataDxfId="4"/>
    <tableColumn id="6" xr3:uid="{34F8A7A3-E90E-5742-B19B-07D9D719732B}" name="20232" dataDxfId="3"/>
    <tableColumn id="7" xr3:uid="{F5891547-2BAA-8742-B574-2FB2801BAD26}" name="2022" dataDxfId="2"/>
    <tableColumn id="8" xr3:uid="{D2E03FDF-0DEF-DD4A-BABB-843BF64A17D6}" name="20223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7468D5-E0DC-AB48-9E48-495722DD79DE}">
  <we:reference id="wa200008175" version="1.0.0.0" store="en-U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BA5C-3471-2944-AC95-F87BA7507DB8}">
  <dimension ref="A1:N41"/>
  <sheetViews>
    <sheetView tabSelected="1" workbookViewId="0">
      <selection activeCell="L46" sqref="L46"/>
    </sheetView>
  </sheetViews>
  <sheetFormatPr baseColWidth="10" defaultRowHeight="16" x14ac:dyDescent="0.2"/>
  <cols>
    <col min="1" max="1" width="11" customWidth="1"/>
    <col min="2" max="2" width="18.1640625" bestFit="1" customWidth="1"/>
    <col min="3" max="3" width="22.83203125" style="5" bestFit="1" customWidth="1"/>
    <col min="4" max="4" width="12.1640625" bestFit="1" customWidth="1"/>
    <col min="5" max="6" width="12.1640625" customWidth="1"/>
    <col min="7" max="7" width="11.1640625" bestFit="1" customWidth="1"/>
    <col min="8" max="8" width="11" customWidth="1"/>
  </cols>
  <sheetData>
    <row r="1" spans="1:14" x14ac:dyDescent="0.2">
      <c r="A1" s="17" t="s">
        <v>97</v>
      </c>
      <c r="C1" s="5" t="s">
        <v>110</v>
      </c>
    </row>
    <row r="3" spans="1:14" x14ac:dyDescent="0.2">
      <c r="B3" s="30" t="s">
        <v>80</v>
      </c>
      <c r="C3" s="31" t="s">
        <v>92</v>
      </c>
      <c r="D3" s="32" t="s">
        <v>102</v>
      </c>
      <c r="E3" s="32" t="s">
        <v>103</v>
      </c>
      <c r="F3" s="32" t="s">
        <v>104</v>
      </c>
      <c r="G3" s="32" t="s">
        <v>105</v>
      </c>
      <c r="H3" s="32" t="s">
        <v>106</v>
      </c>
    </row>
    <row r="4" spans="1:14" x14ac:dyDescent="0.2">
      <c r="B4" s="18" t="s">
        <v>65</v>
      </c>
      <c r="C4" s="28" t="s">
        <v>18</v>
      </c>
      <c r="D4" s="19" t="s">
        <v>17</v>
      </c>
      <c r="E4" s="19">
        <v>2023</v>
      </c>
      <c r="F4" s="19">
        <v>2023</v>
      </c>
      <c r="G4" s="19">
        <v>2022</v>
      </c>
      <c r="H4" s="19">
        <v>2022</v>
      </c>
      <c r="K4" s="9" t="s">
        <v>50</v>
      </c>
      <c r="L4" s="9" t="s">
        <v>51</v>
      </c>
      <c r="M4" s="9" t="s">
        <v>52</v>
      </c>
      <c r="N4" s="9" t="s">
        <v>53</v>
      </c>
    </row>
    <row r="5" spans="1:14" x14ac:dyDescent="0.2">
      <c r="B5" s="21" t="s">
        <v>65</v>
      </c>
      <c r="C5" s="29" t="s">
        <v>18</v>
      </c>
      <c r="D5" s="22" t="s">
        <v>17</v>
      </c>
      <c r="E5" s="22" t="s">
        <v>98</v>
      </c>
      <c r="F5" s="22" t="s">
        <v>99</v>
      </c>
      <c r="G5" s="22" t="s">
        <v>100</v>
      </c>
      <c r="H5" s="22" t="s">
        <v>101</v>
      </c>
      <c r="K5" s="10">
        <v>0.1111</v>
      </c>
      <c r="L5" s="10" t="s">
        <v>54</v>
      </c>
      <c r="M5" s="10" t="s">
        <v>55</v>
      </c>
      <c r="N5" s="10" t="s">
        <v>56</v>
      </c>
    </row>
    <row r="6" spans="1:14" x14ac:dyDescent="0.2">
      <c r="B6" s="18" t="s">
        <v>67</v>
      </c>
      <c r="C6" s="18" t="s">
        <v>0</v>
      </c>
      <c r="D6" s="19" t="s">
        <v>10</v>
      </c>
      <c r="E6" s="20"/>
      <c r="F6" s="20">
        <v>1100</v>
      </c>
      <c r="G6" s="20"/>
      <c r="H6" s="20">
        <v>0</v>
      </c>
      <c r="K6" s="10">
        <v>2.222</v>
      </c>
      <c r="L6" s="10" t="s">
        <v>57</v>
      </c>
      <c r="M6" s="10" t="s">
        <v>58</v>
      </c>
      <c r="N6" s="10" t="s">
        <v>56</v>
      </c>
    </row>
    <row r="7" spans="1:14" x14ac:dyDescent="0.2">
      <c r="B7" s="21" t="s">
        <v>66</v>
      </c>
      <c r="C7" s="21" t="s">
        <v>1</v>
      </c>
      <c r="D7" s="22" t="s">
        <v>11</v>
      </c>
      <c r="E7" s="16">
        <v>14922</v>
      </c>
      <c r="F7" s="16"/>
      <c r="G7" s="16">
        <v>32650</v>
      </c>
      <c r="H7" s="16"/>
      <c r="K7" s="10">
        <v>33.33</v>
      </c>
      <c r="L7" s="10" t="s">
        <v>59</v>
      </c>
      <c r="M7" s="10" t="s">
        <v>60</v>
      </c>
      <c r="N7" s="10" t="s">
        <v>56</v>
      </c>
    </row>
    <row r="8" spans="1:14" x14ac:dyDescent="0.2">
      <c r="B8" s="18" t="s">
        <v>66</v>
      </c>
      <c r="C8" s="18" t="s">
        <v>2</v>
      </c>
      <c r="D8" s="19" t="s">
        <v>12</v>
      </c>
      <c r="E8" s="20">
        <v>0</v>
      </c>
      <c r="F8" s="20"/>
      <c r="G8" s="20">
        <v>871</v>
      </c>
      <c r="H8" s="20"/>
      <c r="K8" s="10">
        <v>444.4</v>
      </c>
      <c r="L8" s="10" t="s">
        <v>61</v>
      </c>
      <c r="M8" s="10" t="s">
        <v>62</v>
      </c>
      <c r="N8" s="10" t="s">
        <v>56</v>
      </c>
    </row>
    <row r="9" spans="1:14" x14ac:dyDescent="0.2">
      <c r="B9" s="21" t="s">
        <v>66</v>
      </c>
      <c r="C9" s="21" t="s">
        <v>3</v>
      </c>
      <c r="D9" s="22" t="s">
        <v>13</v>
      </c>
      <c r="E9" s="16">
        <v>155885</v>
      </c>
      <c r="F9" s="16"/>
      <c r="G9" s="16">
        <v>11470</v>
      </c>
      <c r="H9" s="16"/>
      <c r="K9" s="10">
        <v>5550</v>
      </c>
      <c r="L9" s="10"/>
      <c r="M9" s="10" t="s">
        <v>63</v>
      </c>
      <c r="N9" s="10" t="s">
        <v>64</v>
      </c>
    </row>
    <row r="10" spans="1:14" x14ac:dyDescent="0.2">
      <c r="B10" s="18"/>
      <c r="C10" s="18"/>
      <c r="D10" s="19"/>
      <c r="E10" s="23"/>
      <c r="F10" s="20">
        <f>SUM(E7:E9)</f>
        <v>170807</v>
      </c>
      <c r="G10" s="23"/>
      <c r="H10" s="20">
        <f>SUM(G7:G9)</f>
        <v>44991</v>
      </c>
    </row>
    <row r="11" spans="1:14" x14ac:dyDescent="0.2">
      <c r="B11" s="21"/>
      <c r="C11" s="21" t="s">
        <v>4</v>
      </c>
      <c r="D11" s="22"/>
      <c r="E11" s="16"/>
      <c r="F11" s="16">
        <f>F6-F10</f>
        <v>-169707</v>
      </c>
      <c r="G11" s="16"/>
      <c r="H11" s="16">
        <f>H6-H10</f>
        <v>-44991</v>
      </c>
    </row>
    <row r="12" spans="1:14" x14ac:dyDescent="0.2">
      <c r="B12" s="18"/>
      <c r="C12" s="18" t="s">
        <v>5</v>
      </c>
      <c r="D12" s="19" t="s">
        <v>14</v>
      </c>
      <c r="E12" s="20"/>
      <c r="F12" s="20">
        <v>13600</v>
      </c>
      <c r="G12" s="20"/>
      <c r="H12" s="20">
        <v>10536</v>
      </c>
    </row>
    <row r="13" spans="1:14" x14ac:dyDescent="0.2">
      <c r="B13" s="21"/>
      <c r="C13" s="21" t="s">
        <v>6</v>
      </c>
      <c r="D13" s="22"/>
      <c r="E13" s="16"/>
      <c r="F13" s="16">
        <f>F11+F12</f>
        <v>-156107</v>
      </c>
      <c r="G13" s="16"/>
      <c r="H13" s="16">
        <f>H11+H12</f>
        <v>-34455</v>
      </c>
    </row>
    <row r="14" spans="1:14" x14ac:dyDescent="0.2">
      <c r="B14" s="18"/>
      <c r="C14" s="18" t="s">
        <v>7</v>
      </c>
      <c r="D14" s="19" t="s">
        <v>15</v>
      </c>
      <c r="E14" s="20"/>
      <c r="F14" s="20">
        <v>0</v>
      </c>
      <c r="G14" s="20"/>
      <c r="H14" s="20">
        <v>1675</v>
      </c>
    </row>
    <row r="15" spans="1:14" x14ac:dyDescent="0.2">
      <c r="B15" s="21"/>
      <c r="C15" s="21"/>
      <c r="D15" s="22"/>
      <c r="E15" s="16"/>
      <c r="F15" s="24">
        <f>F13+F14</f>
        <v>-156107</v>
      </c>
      <c r="G15" s="16"/>
      <c r="H15" s="24">
        <f>H13+H14</f>
        <v>-32780</v>
      </c>
    </row>
    <row r="16" spans="1:14" x14ac:dyDescent="0.2">
      <c r="B16" s="18"/>
      <c r="C16" s="18" t="s">
        <v>8</v>
      </c>
      <c r="D16" s="19" t="s">
        <v>16</v>
      </c>
      <c r="E16" s="20"/>
      <c r="F16" s="20">
        <v>0</v>
      </c>
      <c r="G16" s="20"/>
      <c r="H16" s="20">
        <v>-436</v>
      </c>
    </row>
    <row r="17" spans="1:8" ht="17" thickBot="1" x14ac:dyDescent="0.25">
      <c r="B17" s="11"/>
      <c r="C17" s="11" t="s">
        <v>9</v>
      </c>
      <c r="D17" s="25"/>
      <c r="E17" s="13"/>
      <c r="F17" s="15">
        <f>F15+F16</f>
        <v>-156107</v>
      </c>
      <c r="G17" s="13"/>
      <c r="H17" s="15">
        <f>H15+H16</f>
        <v>-33216</v>
      </c>
    </row>
    <row r="18" spans="1:8" ht="17" thickTop="1" x14ac:dyDescent="0.2">
      <c r="B18" s="26"/>
      <c r="C18" s="26"/>
      <c r="D18" s="27"/>
      <c r="E18" s="14"/>
      <c r="F18" s="14"/>
      <c r="G18" s="14"/>
      <c r="H18" s="14"/>
    </row>
    <row r="19" spans="1:8" x14ac:dyDescent="0.2">
      <c r="B19" s="26"/>
      <c r="C19" s="26" t="s">
        <v>111</v>
      </c>
      <c r="D19" s="27"/>
      <c r="E19" s="14"/>
      <c r="F19" s="14"/>
      <c r="G19" s="14"/>
      <c r="H19" s="14"/>
    </row>
    <row r="21" spans="1:8" x14ac:dyDescent="0.2">
      <c r="A21" t="s">
        <v>80</v>
      </c>
      <c r="B21" t="s">
        <v>92</v>
      </c>
      <c r="C21" s="12" t="s">
        <v>102</v>
      </c>
      <c r="D21" s="5" t="s">
        <v>103</v>
      </c>
      <c r="E21" s="5" t="s">
        <v>104</v>
      </c>
      <c r="F21" s="5" t="s">
        <v>105</v>
      </c>
      <c r="G21" s="5" t="s">
        <v>106</v>
      </c>
      <c r="H21" s="5" t="s">
        <v>107</v>
      </c>
    </row>
    <row r="22" spans="1:8" x14ac:dyDescent="0.2">
      <c r="A22" t="s">
        <v>73</v>
      </c>
      <c r="B22" t="s">
        <v>65</v>
      </c>
      <c r="C22" s="12" t="s">
        <v>18</v>
      </c>
      <c r="D22" s="5" t="s">
        <v>17</v>
      </c>
      <c r="E22" s="5">
        <v>2023</v>
      </c>
      <c r="F22" s="5">
        <v>2023</v>
      </c>
      <c r="G22" s="5">
        <v>2022</v>
      </c>
      <c r="H22" s="5">
        <v>2022</v>
      </c>
    </row>
    <row r="23" spans="1:8" x14ac:dyDescent="0.2">
      <c r="A23" t="s">
        <v>73</v>
      </c>
      <c r="B23" t="s">
        <v>65</v>
      </c>
      <c r="C23" s="12" t="s">
        <v>18</v>
      </c>
      <c r="D23" s="5" t="s">
        <v>17</v>
      </c>
      <c r="E23" s="5" t="s">
        <v>93</v>
      </c>
      <c r="F23" s="5" t="s">
        <v>95</v>
      </c>
      <c r="G23" s="5" t="s">
        <v>96</v>
      </c>
      <c r="H23" s="5" t="s">
        <v>94</v>
      </c>
    </row>
    <row r="24" spans="1:8" x14ac:dyDescent="0.2">
      <c r="A24" t="s">
        <v>75</v>
      </c>
      <c r="B24" t="s">
        <v>77</v>
      </c>
      <c r="C24" s="12" t="s">
        <v>76</v>
      </c>
      <c r="D24" s="5" t="s">
        <v>87</v>
      </c>
      <c r="E24" s="5">
        <v>174222</v>
      </c>
      <c r="F24" s="5" t="s">
        <v>75</v>
      </c>
      <c r="G24" s="5" t="s">
        <v>77</v>
      </c>
      <c r="H24" s="5">
        <v>0</v>
      </c>
    </row>
    <row r="25" spans="1:8" x14ac:dyDescent="0.2">
      <c r="A25" t="s">
        <v>75</v>
      </c>
      <c r="B25" t="s">
        <v>77</v>
      </c>
      <c r="C25" s="12" t="s">
        <v>78</v>
      </c>
      <c r="D25" s="5" t="s">
        <v>88</v>
      </c>
      <c r="E25" s="5"/>
      <c r="F25" s="5" t="s">
        <v>75</v>
      </c>
      <c r="G25" s="5" t="s">
        <v>77</v>
      </c>
      <c r="H25" s="5"/>
    </row>
    <row r="26" spans="1:8" x14ac:dyDescent="0.2">
      <c r="A26" t="s">
        <v>75</v>
      </c>
      <c r="C26" s="12" t="s">
        <v>89</v>
      </c>
      <c r="D26" s="5"/>
      <c r="E26" s="5"/>
      <c r="F26" s="5" t="s">
        <v>75</v>
      </c>
      <c r="G26" s="5"/>
      <c r="H26" s="5"/>
    </row>
    <row r="27" spans="1:8" x14ac:dyDescent="0.2">
      <c r="A27" t="s">
        <v>75</v>
      </c>
      <c r="C27" s="12" t="s">
        <v>90</v>
      </c>
      <c r="D27" s="5"/>
      <c r="E27" s="5"/>
      <c r="F27" s="5" t="s">
        <v>75</v>
      </c>
      <c r="G27" s="5"/>
      <c r="H27" s="5"/>
    </row>
    <row r="28" spans="1:8" x14ac:dyDescent="0.2">
      <c r="A28" t="s">
        <v>75</v>
      </c>
      <c r="C28" s="12" t="s">
        <v>91</v>
      </c>
      <c r="D28" s="5"/>
      <c r="E28" s="5"/>
      <c r="F28" s="5" t="s">
        <v>75</v>
      </c>
      <c r="G28" s="5"/>
      <c r="H28" s="5"/>
    </row>
    <row r="29" spans="1:8" x14ac:dyDescent="0.2">
      <c r="A29" t="s">
        <v>75</v>
      </c>
      <c r="B29" t="s">
        <v>79</v>
      </c>
      <c r="C29" s="12" t="s">
        <v>81</v>
      </c>
      <c r="D29" s="5"/>
      <c r="E29" s="5"/>
      <c r="F29" s="5" t="s">
        <v>75</v>
      </c>
      <c r="G29" s="5" t="s">
        <v>79</v>
      </c>
      <c r="H29" s="5"/>
    </row>
    <row r="30" spans="1:8" x14ac:dyDescent="0.2">
      <c r="A30" t="s">
        <v>75</v>
      </c>
      <c r="B30" t="s">
        <v>79</v>
      </c>
      <c r="C30" s="12" t="s">
        <v>82</v>
      </c>
      <c r="D30" s="5" t="s">
        <v>72</v>
      </c>
      <c r="E30" s="5"/>
      <c r="F30" s="5" t="s">
        <v>75</v>
      </c>
      <c r="G30" s="5" t="s">
        <v>79</v>
      </c>
      <c r="H30" s="5"/>
    </row>
    <row r="31" spans="1:8" x14ac:dyDescent="0.2">
      <c r="A31" t="s">
        <v>75</v>
      </c>
      <c r="B31" t="s">
        <v>79</v>
      </c>
      <c r="C31" s="12" t="s">
        <v>83</v>
      </c>
      <c r="D31" s="5"/>
      <c r="E31" s="5"/>
      <c r="F31" s="5" t="s">
        <v>75</v>
      </c>
      <c r="G31" s="5" t="s">
        <v>79</v>
      </c>
      <c r="H31" s="5"/>
    </row>
    <row r="32" spans="1:8" x14ac:dyDescent="0.2">
      <c r="A32" t="s">
        <v>75</v>
      </c>
      <c r="B32" t="s">
        <v>79</v>
      </c>
      <c r="C32" s="12" t="s">
        <v>84</v>
      </c>
      <c r="D32" s="5"/>
      <c r="E32" s="5"/>
      <c r="F32" s="5" t="s">
        <v>75</v>
      </c>
      <c r="G32" s="5" t="s">
        <v>79</v>
      </c>
      <c r="H32" s="5"/>
    </row>
    <row r="33" spans="1:8" x14ac:dyDescent="0.2">
      <c r="A33" t="s">
        <v>75</v>
      </c>
      <c r="B33" t="s">
        <v>79</v>
      </c>
      <c r="C33" s="12" t="s">
        <v>85</v>
      </c>
      <c r="D33" s="5"/>
      <c r="E33" s="5"/>
      <c r="F33" s="5" t="s">
        <v>75</v>
      </c>
      <c r="G33" s="5" t="s">
        <v>79</v>
      </c>
      <c r="H33" s="5"/>
    </row>
    <row r="34" spans="1:8" x14ac:dyDescent="0.2">
      <c r="A34" t="s">
        <v>75</v>
      </c>
      <c r="B34" t="s">
        <v>79</v>
      </c>
      <c r="C34" s="12" t="s">
        <v>86</v>
      </c>
      <c r="D34" s="5"/>
      <c r="E34" s="5"/>
      <c r="F34" s="5" t="s">
        <v>75</v>
      </c>
      <c r="G34" s="5" t="s">
        <v>79</v>
      </c>
      <c r="H34" s="5"/>
    </row>
    <row r="35" spans="1:8" x14ac:dyDescent="0.2">
      <c r="C35" s="12"/>
    </row>
    <row r="36" spans="1:8" x14ac:dyDescent="0.2">
      <c r="C36" s="12" t="s">
        <v>112</v>
      </c>
    </row>
    <row r="37" spans="1:8" x14ac:dyDescent="0.2">
      <c r="C37" s="12"/>
    </row>
    <row r="38" spans="1:8" x14ac:dyDescent="0.2">
      <c r="A38" t="s">
        <v>73</v>
      </c>
      <c r="B38" t="s">
        <v>65</v>
      </c>
      <c r="C38" s="12" t="s">
        <v>18</v>
      </c>
      <c r="D38" s="5" t="s">
        <v>17</v>
      </c>
      <c r="E38" s="5" t="s">
        <v>68</v>
      </c>
      <c r="F38" s="5" t="s">
        <v>108</v>
      </c>
      <c r="G38" s="5" t="s">
        <v>69</v>
      </c>
      <c r="H38" s="5" t="s">
        <v>109</v>
      </c>
    </row>
    <row r="39" spans="1:8" x14ac:dyDescent="0.2">
      <c r="A39" s="33" t="s">
        <v>73</v>
      </c>
      <c r="B39" s="34" t="s">
        <v>65</v>
      </c>
      <c r="C39" s="35" t="s">
        <v>18</v>
      </c>
      <c r="D39" s="34" t="s">
        <v>17</v>
      </c>
      <c r="E39" s="34" t="s">
        <v>92</v>
      </c>
      <c r="F39" s="36" t="s">
        <v>93</v>
      </c>
      <c r="G39" s="34" t="s">
        <v>80</v>
      </c>
      <c r="H39" s="37" t="s">
        <v>94</v>
      </c>
    </row>
    <row r="40" spans="1:8" x14ac:dyDescent="0.2">
      <c r="A40" s="38" t="s">
        <v>74</v>
      </c>
      <c r="B40" s="39" t="s">
        <v>71</v>
      </c>
      <c r="C40" s="40" t="s">
        <v>70</v>
      </c>
      <c r="D40" s="39" t="s">
        <v>72</v>
      </c>
      <c r="E40" s="41"/>
      <c r="F40" s="41">
        <v>18151</v>
      </c>
      <c r="G40" s="41"/>
      <c r="H40" s="42">
        <v>18151</v>
      </c>
    </row>
    <row r="41" spans="1:8" x14ac:dyDescent="0.2">
      <c r="A41" s="38" t="s">
        <v>74</v>
      </c>
      <c r="B41" s="39" t="s">
        <v>71</v>
      </c>
      <c r="C41" s="40"/>
      <c r="D41" s="39"/>
      <c r="E41" s="41"/>
      <c r="F41" s="41">
        <v>569901</v>
      </c>
      <c r="G41" s="41"/>
      <c r="H41" s="42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A9F5-60C0-854A-A0F9-8CAB205C8AF9}">
  <dimension ref="A1:K13"/>
  <sheetViews>
    <sheetView workbookViewId="0">
      <selection activeCell="I16" sqref="I16"/>
    </sheetView>
  </sheetViews>
  <sheetFormatPr baseColWidth="10" defaultRowHeight="16" x14ac:dyDescent="0.2"/>
  <cols>
    <col min="1" max="1" width="34.33203125" bestFit="1" customWidth="1"/>
    <col min="2" max="2" width="7.1640625" bestFit="1" customWidth="1"/>
    <col min="4" max="5" width="10.83203125" style="5"/>
    <col min="6" max="6" width="18.33203125" bestFit="1" customWidth="1"/>
    <col min="7" max="7" width="14.33203125" bestFit="1" customWidth="1"/>
    <col min="9" max="9" width="35" bestFit="1" customWidth="1"/>
  </cols>
  <sheetData>
    <row r="1" spans="1:11" x14ac:dyDescent="0.2">
      <c r="H1" t="s">
        <v>28</v>
      </c>
    </row>
    <row r="3" spans="1:11" x14ac:dyDescent="0.2">
      <c r="A3" s="1" t="s">
        <v>19</v>
      </c>
      <c r="B3" s="1" t="s">
        <v>27</v>
      </c>
      <c r="C3" s="4" t="s">
        <v>20</v>
      </c>
      <c r="D3" s="4" t="s">
        <v>21</v>
      </c>
      <c r="E3" s="4" t="s">
        <v>22</v>
      </c>
      <c r="F3" s="1" t="s">
        <v>23</v>
      </c>
      <c r="G3" s="1" t="s">
        <v>25</v>
      </c>
      <c r="H3" s="1" t="s">
        <v>26</v>
      </c>
      <c r="I3" s="1" t="s">
        <v>33</v>
      </c>
      <c r="K3" t="s">
        <v>47</v>
      </c>
    </row>
    <row r="4" spans="1:11" x14ac:dyDescent="0.2">
      <c r="A4" t="s">
        <v>37</v>
      </c>
      <c r="C4" s="2">
        <v>140484</v>
      </c>
      <c r="D4" s="6">
        <v>0</v>
      </c>
      <c r="I4" t="s">
        <v>36</v>
      </c>
      <c r="J4" t="s">
        <v>46</v>
      </c>
      <c r="K4" t="s">
        <v>49</v>
      </c>
    </row>
    <row r="5" spans="1:11" x14ac:dyDescent="0.2">
      <c r="A5" t="s">
        <v>39</v>
      </c>
      <c r="C5" s="2">
        <f>292000*0.9</f>
        <v>262800</v>
      </c>
      <c r="D5" s="6">
        <v>0.03</v>
      </c>
      <c r="E5" s="7"/>
      <c r="F5" t="s">
        <v>29</v>
      </c>
      <c r="I5" t="s">
        <v>35</v>
      </c>
      <c r="J5" t="s">
        <v>46</v>
      </c>
      <c r="K5" t="s">
        <v>49</v>
      </c>
    </row>
    <row r="6" spans="1:11" x14ac:dyDescent="0.2">
      <c r="A6" t="s">
        <v>31</v>
      </c>
      <c r="C6" s="2">
        <v>221458</v>
      </c>
      <c r="D6" s="6">
        <v>0.03</v>
      </c>
      <c r="E6" s="7"/>
      <c r="F6" t="s">
        <v>30</v>
      </c>
      <c r="I6" t="s">
        <v>42</v>
      </c>
      <c r="J6" t="s">
        <v>46</v>
      </c>
      <c r="K6" t="s">
        <v>48</v>
      </c>
    </row>
    <row r="7" spans="1:11" x14ac:dyDescent="0.2">
      <c r="A7" t="s">
        <v>32</v>
      </c>
      <c r="C7" s="2">
        <v>197384</v>
      </c>
      <c r="D7" s="6">
        <v>0.02</v>
      </c>
      <c r="E7" s="7"/>
      <c r="F7" t="s">
        <v>29</v>
      </c>
      <c r="I7" t="s">
        <v>34</v>
      </c>
      <c r="J7" t="s">
        <v>46</v>
      </c>
      <c r="K7" t="s">
        <v>48</v>
      </c>
    </row>
    <row r="8" spans="1:11" x14ac:dyDescent="0.2">
      <c r="A8" t="s">
        <v>40</v>
      </c>
      <c r="C8" s="2">
        <v>10000</v>
      </c>
      <c r="D8" s="6">
        <v>7.4999999999999997E-2</v>
      </c>
      <c r="E8" s="7">
        <v>45863</v>
      </c>
      <c r="F8" t="s">
        <v>30</v>
      </c>
      <c r="G8">
        <v>45</v>
      </c>
      <c r="I8" t="s">
        <v>43</v>
      </c>
      <c r="K8" t="s">
        <v>48</v>
      </c>
    </row>
    <row r="9" spans="1:11" x14ac:dyDescent="0.2">
      <c r="A9" t="s">
        <v>24</v>
      </c>
      <c r="C9" s="2">
        <v>4500</v>
      </c>
      <c r="D9" s="6">
        <v>7.2499999999999995E-2</v>
      </c>
      <c r="E9" s="7">
        <v>45779</v>
      </c>
      <c r="F9" t="s">
        <v>29</v>
      </c>
      <c r="I9" t="s">
        <v>44</v>
      </c>
      <c r="K9" t="s">
        <v>48</v>
      </c>
    </row>
    <row r="10" spans="1:11" x14ac:dyDescent="0.2">
      <c r="A10" t="s">
        <v>41</v>
      </c>
      <c r="C10" s="3">
        <v>10000</v>
      </c>
      <c r="D10" s="6">
        <v>7.2499999999999995E-2</v>
      </c>
      <c r="E10" s="7">
        <v>45763</v>
      </c>
      <c r="F10" t="s">
        <v>29</v>
      </c>
      <c r="H10" s="1"/>
      <c r="I10" t="s">
        <v>45</v>
      </c>
      <c r="K10" t="s">
        <v>48</v>
      </c>
    </row>
    <row r="11" spans="1:11" x14ac:dyDescent="0.2">
      <c r="C11" s="2">
        <f>SUM(C5:C10)</f>
        <v>706142</v>
      </c>
    </row>
    <row r="13" spans="1:11" x14ac:dyDescent="0.2">
      <c r="A13" t="s">
        <v>38</v>
      </c>
      <c r="D13" s="8">
        <f>SUMPRODUCT(C4:C10,D4:D10)/C11</f>
        <v>2.8714720268727817E-2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</vt:lpstr>
      <vt:lpstr>CrowdRealEstate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Jan-Ru Muller</dc:creator>
  <cp:lastModifiedBy>Jan-Ru Muller</cp:lastModifiedBy>
  <dcterms:created xsi:type="dcterms:W3CDTF">2025-07-26T05:50:16Z</dcterms:created>
  <dcterms:modified xsi:type="dcterms:W3CDTF">2025-07-28T06:21:59Z</dcterms:modified>
</cp:coreProperties>
</file>